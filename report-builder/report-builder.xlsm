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0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nahuelsiemaszko/Documents/Proyectos/carpeta sin título/"/>
    </mc:Choice>
  </mc:AlternateContent>
  <xr:revisionPtr revIDLastSave="0" documentId="13_ncr:1_{A46395DF-6CAE-6749-B47E-FAEF5EA36A35}" xr6:coauthVersionLast="47" xr6:coauthVersionMax="47" xr10:uidLastSave="{00000000-0000-0000-0000-000000000000}"/>
  <bookViews>
    <workbookView xWindow="380" yWindow="500" windowWidth="28040" windowHeight="16120" xr2:uid="{D599D4EC-173E-BC4A-A363-3F4EB4349FCB}"/>
  </bookViews>
  <sheets>
    <sheet name="New" sheetId="1" r:id="rId1"/>
    <sheet name="Closed" sheetId="2" r:id="rId2"/>
    <sheet name="WorkedTickets" sheetId="4" r:id="rId3"/>
    <sheet name="MonthlyNewCases" sheetId="5" r:id="rId4"/>
    <sheet name="SLA" sheetId="7" r:id="rId5"/>
  </sheets>
  <externalReferences>
    <externalReference r:id="rId6"/>
    <externalReference r:id="rId7"/>
    <externalReference r:id="rId8"/>
  </externalReferences>
  <definedNames>
    <definedName name="_xlnm._FilterDatabase" localSheetId="3" hidden="1">MonthlyNewCases!$A$1:$C$16</definedName>
    <definedName name="ah">[1]TicketDD!$I$2:$I$3</definedName>
    <definedName name="Año">YEAR('[2]Detalle IMs cerrados'!$G$2)</definedName>
    <definedName name="bi">[3]TicketDD!$H$2:$H$201</definedName>
    <definedName name="DeleteTicket">#REF!</definedName>
    <definedName name="IsRejectedbyUser">#REF!</definedName>
    <definedName name="Leelo">[1]TicketDD!$L$2:$L$7</definedName>
    <definedName name="LevelofSupport">#REF!</definedName>
    <definedName name="Mes">MONTH('[2]Detalle IMs cerrados'!$G$2)</definedName>
    <definedName name="MetResolutionSLA">#REF!</definedName>
    <definedName name="MetResponseSLA">#REF!</definedName>
    <definedName name="ProblemTicketType">#REF!</definedName>
    <definedName name="ReopenedTicketwiththesameticketID">#REF!</definedName>
    <definedName name="ResolvedthroughAgentAssist?">#REF!</definedName>
    <definedName name="SecurityIncident">#REF!</definedName>
    <definedName name="TACNameList">#REF!</definedName>
    <definedName name="TACServiceColumn">#REF!</definedName>
    <definedName name="TACServiceStart">#REF!</definedName>
    <definedName name="Technology">#REF!</definedName>
    <definedName name="TicketSeverity">#REF!</definedName>
    <definedName name="TicketStatus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6" i="7" l="1"/>
  <c r="I15" i="7"/>
  <c r="I14" i="7"/>
  <c r="I13" i="7"/>
  <c r="I9" i="7"/>
  <c r="I8" i="7"/>
  <c r="I7" i="7"/>
  <c r="I6" i="7"/>
  <c r="B19" i="5"/>
  <c r="F11" i="5"/>
  <c r="F10" i="5"/>
  <c r="F9" i="5"/>
  <c r="F8" i="5"/>
  <c r="F7" i="5"/>
  <c r="F6" i="5"/>
  <c r="F5" i="5"/>
  <c r="F4" i="5"/>
  <c r="F3" i="5"/>
  <c r="F2" i="5"/>
</calcChain>
</file>

<file path=xl/sharedStrings.xml><?xml version="1.0" encoding="utf-8"?>
<sst xmlns="http://schemas.openxmlformats.org/spreadsheetml/2006/main" count="102" uniqueCount="54">
  <si>
    <t>Month Number</t>
  </si>
  <si>
    <t>Month Name</t>
  </si>
  <si>
    <t>Committed Capacity</t>
  </si>
  <si>
    <t>Received Tickets</t>
  </si>
  <si>
    <t>Closed Tickets</t>
  </si>
  <si>
    <t>Abril</t>
  </si>
  <si>
    <t>Mayo</t>
  </si>
  <si>
    <t>Junio</t>
  </si>
  <si>
    <t>Julio</t>
  </si>
  <si>
    <t>Agosto</t>
  </si>
  <si>
    <t>Septiembre</t>
  </si>
  <si>
    <t>Problem Description</t>
  </si>
  <si>
    <t>Quantity</t>
  </si>
  <si>
    <t>Final Category</t>
  </si>
  <si>
    <t>WO Error</t>
  </si>
  <si>
    <t>Integration Error</t>
  </si>
  <si>
    <t>Latency</t>
  </si>
  <si>
    <t>AC Error</t>
  </si>
  <si>
    <t>User Error</t>
  </si>
  <si>
    <t>Preventive Maintenance Error</t>
  </si>
  <si>
    <t>Change/Incident/Impact Error</t>
  </si>
  <si>
    <t>Access Permissions</t>
  </si>
  <si>
    <t>CSG Error</t>
  </si>
  <si>
    <t>Open Error</t>
  </si>
  <si>
    <t>Alarmed</t>
  </si>
  <si>
    <t>LISY Error</t>
  </si>
  <si>
    <t>Scannet Error</t>
  </si>
  <si>
    <t>Others</t>
  </si>
  <si>
    <t>Salesforce Error</t>
  </si>
  <si>
    <t>Outage Error</t>
  </si>
  <si>
    <t>Change Error</t>
  </si>
  <si>
    <t>Incident Error</t>
  </si>
  <si>
    <t>Impact Error</t>
  </si>
  <si>
    <t>Total</t>
  </si>
  <si>
    <t>SLA 1 % Incident Response Within Deadline by Priority</t>
  </si>
  <si>
    <t>Priority</t>
  </si>
  <si>
    <t>Objective</t>
  </si>
  <si>
    <t>Attended Within Deadline</t>
  </si>
  <si>
    <t>Closed This Month</t>
  </si>
  <si>
    <t>Result SLA 1</t>
  </si>
  <si>
    <t>Critical</t>
  </si>
  <si>
    <t>15 mc</t>
  </si>
  <si>
    <t>N/A</t>
  </si>
  <si>
    <t>High</t>
  </si>
  <si>
    <t>Medium</t>
  </si>
  <si>
    <t>2 hh</t>
  </si>
  <si>
    <t>Low</t>
  </si>
  <si>
    <t xml:space="preserve"> </t>
  </si>
  <si>
    <t>SLA 2 % Incident Resolution Within Deadline by Priority</t>
  </si>
  <si>
    <t>Result SLA 2</t>
  </si>
  <si>
    <t>2 hc</t>
  </si>
  <si>
    <t>4 hc</t>
  </si>
  <si>
    <t>8 hh</t>
  </si>
  <si>
    <t>32 hh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</si>
</sst>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sz val="11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 tint="0.34998626667073579"/>
      <name val="Calibri"/>
      <family val="2"/>
      <scheme val="minor"/>
    </font>
    <font>
      <b/>
      <sz val="12"/>
      <color theme="6" tint="-0.499984740745262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3" fillId="0" borderId="0"/>
    <xf numFmtId="0" fontId="1" fillId="0" borderId="0"/>
  </cellStyleXfs>
  <cellXfs count="34">
    <xf numFmtId="0" fontId="0" fillId="0" borderId="0" xfId="0"/>
    <xf numFmtId="0" fontId="3" fillId="0" borderId="0" xfId="1"/>
    <xf numFmtId="0" fontId="3" fillId="0" borderId="1" xfId="1" applyBorder="1"/>
    <xf numFmtId="0" fontId="3" fillId="2" borderId="1" xfId="1" applyFill="1" applyBorder="1"/>
    <xf numFmtId="0" fontId="4" fillId="2" borderId="1" xfId="1" applyFont="1" applyFill="1" applyBorder="1"/>
    <xf numFmtId="0" fontId="5" fillId="0" borderId="0" xfId="1" applyFont="1"/>
    <xf numFmtId="0" fontId="4" fillId="2" borderId="2" xfId="1" applyFont="1" applyFill="1" applyBorder="1"/>
    <xf numFmtId="0" fontId="4" fillId="2" borderId="3" xfId="1" applyFont="1" applyFill="1" applyBorder="1"/>
    <xf numFmtId="0" fontId="6" fillId="0" borderId="1" xfId="1" applyFont="1" applyBorder="1" applyAlignment="1" applyProtection="1">
      <alignment horizontal="center" vertical="top" wrapText="1"/>
      <protection locked="0"/>
    </xf>
    <xf numFmtId="0" fontId="5" fillId="0" borderId="1" xfId="1" applyFont="1" applyBorder="1"/>
    <xf numFmtId="0" fontId="5" fillId="3" borderId="1" xfId="1" applyFont="1" applyFill="1" applyBorder="1" applyAlignment="1">
      <alignment horizontal="center"/>
    </xf>
    <xf numFmtId="0" fontId="5" fillId="3" borderId="1" xfId="1" applyFont="1" applyFill="1" applyBorder="1"/>
    <xf numFmtId="0" fontId="6" fillId="3" borderId="1" xfId="1" applyFont="1" applyFill="1" applyBorder="1" applyAlignment="1" applyProtection="1">
      <alignment horizontal="center" vertical="top" wrapText="1"/>
      <protection locked="0"/>
    </xf>
    <xf numFmtId="0" fontId="5" fillId="3" borderId="3" xfId="1" applyFont="1" applyFill="1" applyBorder="1"/>
    <xf numFmtId="0" fontId="5" fillId="0" borderId="3" xfId="1" applyFont="1" applyBorder="1"/>
    <xf numFmtId="0" fontId="5" fillId="0" borderId="4" xfId="1" applyFont="1" applyBorder="1"/>
    <xf numFmtId="0" fontId="6" fillId="0" borderId="0" xfId="1" applyFont="1" applyAlignment="1" applyProtection="1">
      <alignment horizontal="center" vertical="top" wrapText="1"/>
      <protection locked="0"/>
    </xf>
    <xf numFmtId="0" fontId="5" fillId="0" borderId="0" xfId="1" applyFont="1" applyAlignment="1">
      <alignment horizontal="center"/>
    </xf>
    <xf numFmtId="0" fontId="2" fillId="2" borderId="8" xfId="2" applyFont="1" applyFill="1" applyBorder="1" applyAlignment="1">
      <alignment horizontal="center" wrapText="1"/>
    </xf>
    <xf numFmtId="0" fontId="2" fillId="0" borderId="0" xfId="2" applyFont="1" applyAlignment="1">
      <alignment horizontal="center" wrapText="1"/>
    </xf>
    <xf numFmtId="17" fontId="1" fillId="0" borderId="1" xfId="2" quotePrefix="1" applyNumberFormat="1" applyBorder="1" applyAlignment="1">
      <alignment horizontal="center"/>
    </xf>
    <xf numFmtId="9" fontId="1" fillId="0" borderId="1" xfId="2" applyNumberFormat="1" applyBorder="1" applyAlignment="1">
      <alignment horizontal="center"/>
    </xf>
    <xf numFmtId="0" fontId="1" fillId="0" borderId="1" xfId="2" applyBorder="1" applyAlignment="1">
      <alignment horizontal="center"/>
    </xf>
    <xf numFmtId="0" fontId="8" fillId="2" borderId="1" xfId="2" applyFont="1" applyFill="1" applyBorder="1" applyAlignment="1">
      <alignment horizontal="center"/>
    </xf>
    <xf numFmtId="0" fontId="9" fillId="2" borderId="1" xfId="2" applyFont="1" applyFill="1" applyBorder="1" applyAlignment="1">
      <alignment horizontal="center"/>
    </xf>
    <xf numFmtId="17" fontId="1" fillId="0" borderId="1" xfId="2" applyNumberFormat="1" applyBorder="1" applyAlignment="1">
      <alignment horizontal="center"/>
    </xf>
    <xf numFmtId="0" fontId="1" fillId="0" borderId="0" xfId="2"/>
    <xf numFmtId="0" fontId="7" fillId="4" borderId="5" xfId="2" applyFont="1" applyFill="1" applyBorder="1" applyAlignment="1">
      <alignment horizontal="center"/>
    </xf>
    <xf numFmtId="0" fontId="7" fillId="4" borderId="6" xfId="2" applyFont="1" applyFill="1" applyBorder="1" applyAlignment="1">
      <alignment horizontal="center"/>
    </xf>
    <xf numFmtId="0" fontId="7" fillId="4" borderId="7" xfId="2" applyFont="1" applyFill="1" applyBorder="1" applyAlignment="1">
      <alignment horizontal="center"/>
    </xf>
    <xf numFmtId="0" fontId="2" fillId="2" borderId="5" xfId="2" applyFont="1" applyFill="1" applyBorder="1" applyAlignment="1">
      <alignment horizontal="center"/>
    </xf>
    <xf numFmtId="0" fontId="2" fillId="2" borderId="7" xfId="2" applyFont="1" applyFill="1" applyBorder="1" applyAlignment="1">
      <alignment horizontal="center"/>
    </xf>
    <xf numFmtId="0" fontId="2" fillId="2" borderId="5" xfId="2" applyFont="1" applyFill="1" applyBorder="1" applyAlignment="1">
      <alignment horizontal="center" wrapText="1"/>
    </xf>
    <xf numFmtId="0" fontId="2" fillId="2" borderId="7" xfId="2" applyFont="1" applyFill="1" applyBorder="1" applyAlignment="1">
      <alignment horizontal="center" wrapText="1"/>
    </xf>
  </cellXfs>
  <cellStyles count="3">
    <cellStyle name="Normal" xfId="0" builtinId="0"/>
    <cellStyle name="Normal 2" xfId="1" xr:uid="{4B43ADF8-2527-EB42-A4AB-F1C8922C1998}"/>
    <cellStyle name="Normal 2 2" xfId="2" xr:uid="{18CDCBEB-767A-C242-84F3-3847BD86F1AF}"/>
  </cellStyles>
  <dxfs count="2"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s-AR" sz="1400" b="0" i="0" u="none" strike="noStrike" baseline="0">
                <a:effectLst/>
              </a:rPr>
              <a:t>Worked Tickets vs Committed Capacity</a:t>
            </a:r>
            <a:endParaRPr lang="en-US" baseline="0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>
        <c:manualLayout>
          <c:layoutTarget val="inner"/>
          <c:xMode val="edge"/>
          <c:yMode val="edge"/>
          <c:x val="7.9247594050743664E-2"/>
          <c:y val="0.18926708074534165"/>
          <c:w val="0.89019685039370078"/>
          <c:h val="0.58676578471169361"/>
        </c:manualLayout>
      </c:layout>
      <c:lineChart>
        <c:grouping val="standard"/>
        <c:varyColors val="0"/>
        <c:ser>
          <c:idx val="0"/>
          <c:order val="0"/>
          <c:tx>
            <c:strRef>
              <c:f>WorkedTickets!$C$1</c:f>
              <c:strCache>
                <c:ptCount val="1"/>
                <c:pt idx="0">
                  <c:v>Committed Capacity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E3A-2B41-9561-23B47DFD6FD3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E3A-2B41-9561-23B47DFD6FD3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>
                  <c15:layout>
                    <c:manualLayout>
                      <c:w val="6.1444444444444433E-2"/>
                      <c:h val="7.4004811898512685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3E3A-2B41-9561-23B47DFD6FD3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E3A-2B41-9561-23B47DFD6FD3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E3A-2B41-9561-23B47DFD6F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WorkedTickets!$B$2:$B$7</c:f>
              <c:strCache>
                <c:ptCount val="6"/>
                <c:pt idx="0">
                  <c:v>Abril</c:v>
                </c:pt>
                <c:pt idx="1">
                  <c:v>Mayo</c:v>
                </c:pt>
                <c:pt idx="2">
                  <c:v>Junio</c:v>
                </c:pt>
                <c:pt idx="3">
                  <c:v>Julio</c:v>
                </c:pt>
                <c:pt idx="4">
                  <c:v>Agosto</c:v>
                </c:pt>
                <c:pt idx="5">
                  <c:v>Septiembre</c:v>
                </c:pt>
              </c:strCache>
            </c:strRef>
          </c:cat>
          <c:val>
            <c:numRef>
              <c:f>WorkedTickets!$C$2:$C$7</c:f>
              <c:numCache>
                <c:formatCode>General</c:formatCode>
                <c:ptCount val="6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E3A-2B41-9561-23B47DFD6FD3}"/>
            </c:ext>
          </c:extLst>
        </c:ser>
        <c:ser>
          <c:idx val="1"/>
          <c:order val="1"/>
          <c:tx>
            <c:strRef>
              <c:f>WorkedTickets!$D$1</c:f>
              <c:strCache>
                <c:ptCount val="1"/>
                <c:pt idx="0">
                  <c:v>Received Tickets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3.6111111111111212E-2"/>
                  <c:y val="-5.092574365704284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9666666666666663E-2"/>
                      <c:h val="9.715296004666081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3E3A-2B41-9561-23B47DFD6FD3}"/>
                </c:ext>
              </c:extLst>
            </c:dLbl>
            <c:dLbl>
              <c:idx val="1"/>
              <c:layout>
                <c:manualLayout>
                  <c:x val="-3.8888888888888994E-2"/>
                  <c:y val="-6.018500291630217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777777777777782E-2"/>
                      <c:h val="9.715296004666081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3E3A-2B41-9561-23B47DFD6FD3}"/>
                </c:ext>
              </c:extLst>
            </c:dLbl>
            <c:dLbl>
              <c:idx val="2"/>
              <c:layout>
                <c:manualLayout>
                  <c:x val="-4.7222222222222221E-2"/>
                  <c:y val="-6.018518518518518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777777777777782E-2"/>
                      <c:h val="9.2523330417031202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3E3A-2B41-9561-23B47DFD6FD3}"/>
                </c:ext>
              </c:extLst>
            </c:dLbl>
            <c:dLbl>
              <c:idx val="3"/>
              <c:layout>
                <c:manualLayout>
                  <c:x val="-3.611100174978138E-2"/>
                  <c:y val="-5.098493626882966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5.4666666666666662E-2"/>
                      <c:h val="0.1158055127234240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3E3A-2B41-9561-23B47DFD6FD3}"/>
                </c:ext>
              </c:extLst>
            </c:dLbl>
            <c:dLbl>
              <c:idx val="4"/>
              <c:layout>
                <c:manualLayout>
                  <c:x val="-3.888888888888889E-2"/>
                  <c:y val="-4.17147653762283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3E-2"/>
                      <c:h val="0.101900530104652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3E3A-2B41-9561-23B47DFD6F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WorkedTickets!$B$2:$B$7</c:f>
              <c:strCache>
                <c:ptCount val="6"/>
                <c:pt idx="0">
                  <c:v>Abril</c:v>
                </c:pt>
                <c:pt idx="1">
                  <c:v>Mayo</c:v>
                </c:pt>
                <c:pt idx="2">
                  <c:v>Junio</c:v>
                </c:pt>
                <c:pt idx="3">
                  <c:v>Julio</c:v>
                </c:pt>
                <c:pt idx="4">
                  <c:v>Agosto</c:v>
                </c:pt>
                <c:pt idx="5">
                  <c:v>Septiembre</c:v>
                </c:pt>
              </c:strCache>
            </c:strRef>
          </c:cat>
          <c:val>
            <c:numRef>
              <c:f>WorkedTickets!$D$2:$D$7</c:f>
              <c:numCache>
                <c:formatCode>General</c:formatCode>
                <c:ptCount val="6"/>
                <c:pt idx="0">
                  <c:v>203</c:v>
                </c:pt>
                <c:pt idx="1">
                  <c:v>232</c:v>
                </c:pt>
                <c:pt idx="2">
                  <c:v>160</c:v>
                </c:pt>
                <c:pt idx="3">
                  <c:v>155</c:v>
                </c:pt>
                <c:pt idx="4">
                  <c:v>256</c:v>
                </c:pt>
                <c:pt idx="5">
                  <c:v>212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E3A-2B41-9561-23B47DFD6FD3}"/>
            </c:ext>
          </c:extLst>
        </c:ser>
        <c:ser>
          <c:idx val="2"/>
          <c:order val="2"/>
          <c:tx>
            <c:strRef>
              <c:f>WorkedTickets!$E$1</c:f>
              <c:strCache>
                <c:ptCount val="1"/>
                <c:pt idx="0">
                  <c:v>Closed Tickets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2.7448528605610839E-2"/>
                  <c:y val="5.353728489483740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E3A-2B41-9561-23B47DFD6FD3}"/>
                </c:ext>
              </c:extLst>
            </c:dLbl>
            <c:dLbl>
              <c:idx val="1"/>
              <c:layout>
                <c:manualLayout>
                  <c:x val="-4.7411094864236912E-2"/>
                  <c:y val="4.9713343671429218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6575158472517867E-2"/>
                      <c:h val="7.260053296397223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D-3E3A-2B41-9561-23B47DFD6FD3}"/>
                </c:ext>
              </c:extLst>
            </c:dLbl>
            <c:dLbl>
              <c:idx val="2"/>
              <c:layout>
                <c:manualLayout>
                  <c:x val="-4.242045329958035E-2"/>
                  <c:y val="3.059288478041590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4079837690189614E-2"/>
                      <c:h val="9.1720991854985598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E-3E3A-2B41-9561-23B47DFD6FD3}"/>
                </c:ext>
              </c:extLst>
            </c:dLbl>
            <c:dLbl>
              <c:idx val="3"/>
              <c:layout>
                <c:manualLayout>
                  <c:x val="-4.7411094864236961E-2"/>
                  <c:y val="3.824091778202676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6556441601830894E-2"/>
                      <c:h val="9.936917541139098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F-3E3A-2B41-9561-23B47DFD6FD3}"/>
                </c:ext>
              </c:extLst>
            </c:dLbl>
            <c:dLbl>
              <c:idx val="4"/>
              <c:layout>
                <c:manualLayout>
                  <c:x val="-4.2420453299580448E-2"/>
                  <c:y val="3.441682600382409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4079837690189614E-2"/>
                      <c:h val="9.554508363318829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3E3A-2B41-9561-23B47DFD6F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WorkedTickets!$B$2:$B$7</c:f>
              <c:strCache>
                <c:ptCount val="6"/>
                <c:pt idx="0">
                  <c:v>Abril</c:v>
                </c:pt>
                <c:pt idx="1">
                  <c:v>Mayo</c:v>
                </c:pt>
                <c:pt idx="2">
                  <c:v>Junio</c:v>
                </c:pt>
                <c:pt idx="3">
                  <c:v>Julio</c:v>
                </c:pt>
                <c:pt idx="4">
                  <c:v>Agosto</c:v>
                </c:pt>
                <c:pt idx="5">
                  <c:v>Septiembre</c:v>
                </c:pt>
              </c:strCache>
            </c:strRef>
          </c:cat>
          <c:val>
            <c:numRef>
              <c:f>WorkedTickets!$E$2:$E$7</c:f>
              <c:numCache>
                <c:formatCode>General</c:formatCode>
                <c:ptCount val="6"/>
                <c:pt idx="0">
                  <c:v>175</c:v>
                </c:pt>
                <c:pt idx="1">
                  <c:v>185</c:v>
                </c:pt>
                <c:pt idx="2">
                  <c:v>125</c:v>
                </c:pt>
                <c:pt idx="3">
                  <c:v>157</c:v>
                </c:pt>
                <c:pt idx="4">
                  <c:v>166</c:v>
                </c:pt>
                <c:pt idx="5">
                  <c:v>168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3E3A-2B41-9561-23B47DFD6F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3282208"/>
        <c:axId val="1883277216"/>
      </c:lineChart>
      <c:catAx>
        <c:axId val="1883282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883277216"/>
        <c:crosses val="autoZero"/>
        <c:auto val="1"/>
        <c:lblAlgn val="ctr"/>
        <c:lblOffset val="100"/>
        <c:noMultiLvlLbl val="0"/>
      </c:catAx>
      <c:valAx>
        <c:axId val="1883277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883282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9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  <a:scene3d>
      <a:camera prst="orthographicFront"/>
      <a:lightRig rig="threePt" dir="t"/>
    </a:scene3d>
    <a:sp3d>
      <a:bevelT/>
    </a:sp3d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4227736141258002E-2"/>
          <c:y val="6.3537876730925882E-2"/>
          <c:w val="0.9466989804892324"/>
          <c:h val="0.50500724047425105"/>
        </c:manualLayout>
      </c:layout>
      <c:barChart>
        <c:barDir val="bar"/>
        <c:grouping val="percentStacked"/>
        <c:varyColors val="0"/>
        <c:ser>
          <c:idx val="0"/>
          <c:order val="0"/>
          <c:tx>
            <c:strRef>
              <c:f>MonthlyNewCases!$E$2</c:f>
              <c:strCache>
                <c:ptCount val="1"/>
                <c:pt idx="0">
                  <c:v>Integration Error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MonthlyNewCases!$F$2</c:f>
              <c:numCache>
                <c:formatCode>General</c:formatCode>
                <c:ptCount val="1"/>
                <c:pt idx="0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9F-6B42-8B3F-27E5395D3AFE}"/>
            </c:ext>
          </c:extLst>
        </c:ser>
        <c:ser>
          <c:idx val="1"/>
          <c:order val="1"/>
          <c:tx>
            <c:strRef>
              <c:f>MonthlyNewCases!$E$3</c:f>
              <c:strCache>
                <c:ptCount val="1"/>
                <c:pt idx="0">
                  <c:v>WO Error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MonthlyNewCases!$F$3</c:f>
              <c:numCache>
                <c:formatCode>General</c:formatCode>
                <c:ptCount val="1"/>
                <c:pt idx="0">
                  <c:v>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9F-6B42-8B3F-27E5395D3AFE}"/>
            </c:ext>
          </c:extLst>
        </c:ser>
        <c:ser>
          <c:idx val="2"/>
          <c:order val="2"/>
          <c:tx>
            <c:strRef>
              <c:f>MonthlyNewCases!$E$4</c:f>
              <c:strCache>
                <c:ptCount val="1"/>
                <c:pt idx="0">
                  <c:v>AC Error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MonthlyNewCases!$F$4</c:f>
              <c:numCache>
                <c:formatCode>General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9F-6B42-8B3F-27E5395D3AFE}"/>
            </c:ext>
          </c:extLst>
        </c:ser>
        <c:ser>
          <c:idx val="3"/>
          <c:order val="3"/>
          <c:tx>
            <c:strRef>
              <c:f>MonthlyNewCases!$E$5</c:f>
              <c:strCache>
                <c:ptCount val="1"/>
                <c:pt idx="0">
                  <c:v>Preventive Maintenance Error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MonthlyNewCases!$F$5</c:f>
              <c:numCache>
                <c:formatCode>General</c:formatCode>
                <c:ptCount val="1"/>
                <c:pt idx="0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9F-6B42-8B3F-27E5395D3AFE}"/>
            </c:ext>
          </c:extLst>
        </c:ser>
        <c:ser>
          <c:idx val="4"/>
          <c:order val="4"/>
          <c:tx>
            <c:strRef>
              <c:f>MonthlyNewCases!$E$6</c:f>
              <c:strCache>
                <c:ptCount val="1"/>
                <c:pt idx="0">
                  <c:v>Change/Incident/Impact Error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Lbl>
              <c:idx val="0"/>
              <c:layout>
                <c:manualLayout>
                  <c:x val="0"/>
                  <c:y val="3.8759242172407588E-17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99F-6B42-8B3F-27E5395D3AF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MonthlyNewCases!$F$6</c:f>
              <c:numCache>
                <c:formatCode>General</c:formatCode>
                <c:ptCount val="1"/>
                <c:pt idx="0">
                  <c:v>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9F-6B42-8B3F-27E5395D3AFE}"/>
            </c:ext>
          </c:extLst>
        </c:ser>
        <c:ser>
          <c:idx val="5"/>
          <c:order val="5"/>
          <c:tx>
            <c:strRef>
              <c:f>MonthlyNewCases!$E$7</c:f>
              <c:strCache>
                <c:ptCount val="1"/>
                <c:pt idx="0">
                  <c:v>Latency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MonthlyNewCases!$F$7</c:f>
              <c:numCache>
                <c:formatCode>General</c:formatCode>
                <c:ptCount val="1"/>
                <c:pt idx="0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9F-6B42-8B3F-27E5395D3AFE}"/>
            </c:ext>
          </c:extLst>
        </c:ser>
        <c:ser>
          <c:idx val="6"/>
          <c:order val="6"/>
          <c:tx>
            <c:strRef>
              <c:f>MonthlyNewCases!$E$8</c:f>
              <c:strCache>
                <c:ptCount val="1"/>
                <c:pt idx="0">
                  <c:v>Access Permissions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MonthlyNewCases!$F$8</c:f>
              <c:numCache>
                <c:formatCode>General</c:formatCode>
                <c:ptCount val="1"/>
                <c:pt idx="0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9F-6B42-8B3F-27E5395D3AFE}"/>
            </c:ext>
          </c:extLst>
        </c:ser>
        <c:ser>
          <c:idx val="7"/>
          <c:order val="7"/>
          <c:tx>
            <c:strRef>
              <c:f>MonthlyNewCases!$E$9</c:f>
              <c:strCache>
                <c:ptCount val="1"/>
                <c:pt idx="0">
                  <c:v>Alarmed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MonthlyNewCases!$F$9</c:f>
              <c:numCache>
                <c:formatCode>General</c:formatCode>
                <c:ptCount val="1"/>
                <c:pt idx="0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99F-6B42-8B3F-27E5395D3AFE}"/>
            </c:ext>
          </c:extLst>
        </c:ser>
        <c:ser>
          <c:idx val="8"/>
          <c:order val="8"/>
          <c:tx>
            <c:strRef>
              <c:f>MonthlyNewCases!$E$10</c:f>
              <c:strCache>
                <c:ptCount val="1"/>
                <c:pt idx="0">
                  <c:v>User Error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MonthlyNewCases!$F$10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99F-6B42-8B3F-27E5395D3AFE}"/>
            </c:ext>
          </c:extLst>
        </c:ser>
        <c:ser>
          <c:idx val="9"/>
          <c:order val="9"/>
          <c:tx>
            <c:strRef>
              <c:f>MonthlyNewCases!$E$11</c:f>
              <c:strCache>
                <c:ptCount val="1"/>
                <c:pt idx="0">
                  <c:v>Others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MonthlyNewCases!$F$11</c:f>
              <c:numCache>
                <c:formatCode>General</c:formatCode>
                <c:ptCount val="1"/>
                <c:pt idx="0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99F-6B42-8B3F-27E5395D3AF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258226672"/>
        <c:axId val="148396432"/>
      </c:barChart>
      <c:catAx>
        <c:axId val="2582266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48396432"/>
        <c:crosses val="autoZero"/>
        <c:auto val="1"/>
        <c:lblAlgn val="ctr"/>
        <c:lblOffset val="100"/>
        <c:noMultiLvlLbl val="0"/>
      </c:catAx>
      <c:valAx>
        <c:axId val="148396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58226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Closed Incidents Distribution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EF5C-1C4E-ABCF-D869268DC7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EF5C-1C4E-ABCF-D869268DC7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EF5C-1C4E-ABCF-D869268DC7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EF5C-1C4E-ABCF-D869268DC70D}"/>
              </c:ext>
            </c:extLst>
          </c:dPt>
          <c:dLbls>
            <c:dLbl>
              <c:idx val="1"/>
              <c:layout>
                <c:manualLayout>
                  <c:x val="3.2431321084864392E-2"/>
                  <c:y val="-5.1454505686789149E-3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F5C-1C4E-ABCF-D869268DC70D}"/>
                </c:ext>
              </c:extLst>
            </c:dLbl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SLA!$C$6:$C$9</c:f>
              <c:strCache>
                <c:ptCount val="4"/>
                <c:pt idx="0">
                  <c:v>Critical</c:v>
                </c:pt>
                <c:pt idx="1">
                  <c:v>High</c:v>
                </c:pt>
                <c:pt idx="2">
                  <c:v>Medium</c:v>
                </c:pt>
                <c:pt idx="3">
                  <c:v>Low</c:v>
                </c:pt>
              </c:strCache>
            </c:strRef>
          </c:cat>
          <c:val>
            <c:numRef>
              <c:f>SLA!$G$6:$G$9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73</c:v>
                </c:pt>
                <c:pt idx="3">
                  <c:v>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F5C-1C4E-ABCF-D869268DC70D}"/>
            </c:ext>
          </c:extLst>
        </c:ser>
        <c:dLbls>
          <c:dLblPos val="bestFit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454024</xdr:colOff>
      <xdr:row>0</xdr:row>
      <xdr:rowOff>0</xdr:rowOff>
    </xdr:from>
    <xdr:to>
      <xdr:col>15</xdr:col>
      <xdr:colOff>57150</xdr:colOff>
      <xdr:row>18</xdr:row>
      <xdr:rowOff>6350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84B7E47-1765-1D42-9993-535683AC9F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476249</xdr:colOff>
      <xdr:row>19</xdr:row>
      <xdr:rowOff>137948</xdr:rowOff>
    </xdr:from>
    <xdr:to>
      <xdr:col>8</xdr:col>
      <xdr:colOff>532027</xdr:colOff>
      <xdr:row>36</xdr:row>
      <xdr:rowOff>10948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4C7F5957-7352-3441-9A09-9AE8F73C1A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600075</xdr:colOff>
      <xdr:row>4</xdr:row>
      <xdr:rowOff>12700</xdr:rowOff>
    </xdr:from>
    <xdr:to>
      <xdr:col>18</xdr:col>
      <xdr:colOff>295275</xdr:colOff>
      <xdr:row>15</xdr:row>
      <xdr:rowOff>158750</xdr:rowOff>
    </xdr:to>
    <xdr:graphicFrame macro="">
      <xdr:nvGraphicFramePr>
        <xdr:cNvPr id="2" name="Chart 9">
          <a:extLst>
            <a:ext uri="{FF2B5EF4-FFF2-40B4-BE49-F238E27FC236}">
              <a16:creationId xmlns:a16="http://schemas.microsoft.com/office/drawing/2014/main" id="{B07462FD-4D2F-754C-8B2C-4FB5D6F1CA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035971613/Desktop/ICD%20SN%202/Informe%20Servicio/Informes%202023/Mayo/SWQ%20Metrics%20Tool%20Ticket%2012.4%202023-05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035971613/Desktop/ICD%20SN%202/Informe%20Servicio/Informes%202022/Febrero%202022/SLOs%20NIVEL%202%20-%20ICD%20-%20Febrero%202022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035971613/Desktop/ICD%20SN%202/Informe%20Servicio/Informes%202023/Abril/SWQ%20Metrics%20Tool%20Ticket%2012.4%202023-04%20(002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figurations"/>
      <sheetName val="Instructions"/>
      <sheetName val="Tickets Data"/>
      <sheetName val="Additional Details"/>
      <sheetName val="TicketDD"/>
    </sheetNames>
    <sheetDataSet>
      <sheetData sheetId="0"/>
      <sheetData sheetId="1"/>
      <sheetData sheetId="2"/>
      <sheetData sheetId="3"/>
      <sheetData sheetId="4">
        <row r="2">
          <cell r="I2" t="str">
            <v>Y</v>
          </cell>
          <cell r="L2" t="str">
            <v>L1</v>
          </cell>
        </row>
        <row r="3">
          <cell r="I3" t="str">
            <v>N</v>
          </cell>
          <cell r="L3" t="str">
            <v>L1.5</v>
          </cell>
        </row>
        <row r="4">
          <cell r="L4" t="str">
            <v>L2</v>
          </cell>
        </row>
        <row r="5">
          <cell r="L5" t="str">
            <v>L3</v>
          </cell>
        </row>
        <row r="6">
          <cell r="L6" t="str">
            <v>L4</v>
          </cell>
        </row>
        <row r="7">
          <cell r="L7" t="str">
            <v>L5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sumen SLA"/>
      <sheetName val="Detalle IMs cerrados"/>
      <sheetName val="IM en curso"/>
      <sheetName val="Nivel 2 - OSS - Tiempos pro"/>
      <sheetName val="Nivel 2 - OSS- Capacidad"/>
      <sheetName val="SLOs NIVEL 2 - ICD - Febrero 20"/>
    </sheetNames>
    <sheetDataSet>
      <sheetData sheetId="0">
        <row r="6">
          <cell r="Q6">
            <v>0</v>
          </cell>
        </row>
      </sheetData>
      <sheetData sheetId="1">
        <row r="2">
          <cell r="G2">
            <v>44608.526377314818</v>
          </cell>
        </row>
      </sheetData>
      <sheetData sheetId="2"/>
      <sheetData sheetId="3" refreshError="1"/>
      <sheetData sheetId="4" refreshError="1"/>
      <sheetData sheetId="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figurations"/>
      <sheetName val="Instructions"/>
      <sheetName val="Tickets Data"/>
      <sheetName val="Additional Details"/>
      <sheetName val="TicketDD"/>
    </sheetNames>
    <sheetDataSet>
      <sheetData sheetId="0" refreshError="1"/>
      <sheetData sheetId="1" refreshError="1"/>
      <sheetData sheetId="2" refreshError="1"/>
      <sheetData sheetId="3" refreshError="1"/>
      <sheetData sheetId="4">
        <row r="2">
          <cell r="H2" t="str">
            <v>.NET Framework</v>
          </cell>
        </row>
        <row r="3">
          <cell r="H3" t="str">
            <v>370/Assembler</v>
          </cell>
        </row>
        <row r="4">
          <cell r="H4" t="str">
            <v>ABAP BAO</v>
          </cell>
        </row>
        <row r="5">
          <cell r="H5" t="str">
            <v>ABINITIO</v>
          </cell>
        </row>
        <row r="6">
          <cell r="H6" t="str">
            <v>Actuate</v>
          </cell>
        </row>
        <row r="7">
          <cell r="H7" t="str">
            <v>ADF</v>
          </cell>
        </row>
        <row r="8">
          <cell r="H8" t="str">
            <v>ADSO</v>
          </cell>
        </row>
        <row r="9">
          <cell r="H9" t="str">
            <v>Agile</v>
          </cell>
        </row>
        <row r="10">
          <cell r="H10" t="str">
            <v>AIX</v>
          </cell>
        </row>
        <row r="11">
          <cell r="H11" t="str">
            <v>Ajax for .NET ; Silverlight</v>
          </cell>
        </row>
        <row r="12">
          <cell r="H12" t="str">
            <v>Analytics</v>
          </cell>
        </row>
        <row r="13">
          <cell r="H13" t="str">
            <v>AS 400</v>
          </cell>
        </row>
        <row r="14">
          <cell r="H14" t="str">
            <v>ASP</v>
          </cell>
        </row>
        <row r="15">
          <cell r="H15" t="str">
            <v>ASP.NET</v>
          </cell>
        </row>
        <row r="16">
          <cell r="H16" t="str">
            <v>Assembler</v>
          </cell>
        </row>
        <row r="17">
          <cell r="H17" t="str">
            <v>Assembler S/390</v>
          </cell>
        </row>
        <row r="18">
          <cell r="H18" t="str">
            <v>ATG Web Commerce</v>
          </cell>
        </row>
        <row r="19">
          <cell r="H19" t="str">
            <v>B7334</v>
          </cell>
        </row>
        <row r="20">
          <cell r="H20" t="str">
            <v>BAO</v>
          </cell>
        </row>
        <row r="21">
          <cell r="H21" t="str">
            <v>Billing &amp; Revenue Management (BRM)</v>
          </cell>
        </row>
        <row r="22">
          <cell r="H22" t="str">
            <v>Booledozer</v>
          </cell>
        </row>
        <row r="23">
          <cell r="H23" t="str">
            <v>Borland C++ Builder</v>
          </cell>
        </row>
        <row r="24">
          <cell r="H24" t="str">
            <v>Borland Delphi</v>
          </cell>
        </row>
        <row r="25">
          <cell r="H25" t="str">
            <v>BPCS</v>
          </cell>
        </row>
        <row r="26">
          <cell r="H26" t="str">
            <v>Business Object</v>
          </cell>
        </row>
        <row r="27">
          <cell r="H27" t="str">
            <v>Business Requirements</v>
          </cell>
        </row>
        <row r="28">
          <cell r="H28" t="str">
            <v>C</v>
          </cell>
        </row>
        <row r="29">
          <cell r="H29" t="str">
            <v>C#</v>
          </cell>
        </row>
        <row r="30">
          <cell r="H30" t="str">
            <v>C#.NET; VB.NET</v>
          </cell>
        </row>
        <row r="31">
          <cell r="H31" t="str">
            <v>C; C++</v>
          </cell>
        </row>
        <row r="32">
          <cell r="H32" t="str">
            <v>C++</v>
          </cell>
        </row>
        <row r="33">
          <cell r="H33" t="str">
            <v>Catia Innovia</v>
          </cell>
        </row>
        <row r="34">
          <cell r="H34" t="str">
            <v>CICS</v>
          </cell>
        </row>
        <row r="35">
          <cell r="H35" t="str">
            <v>Clearquest</v>
          </cell>
        </row>
        <row r="36">
          <cell r="H36" t="str">
            <v>CMS PIPESLINES</v>
          </cell>
        </row>
        <row r="37">
          <cell r="H37" t="str">
            <v>COBOL</v>
          </cell>
        </row>
        <row r="38">
          <cell r="H38" t="str">
            <v>Cobol/400</v>
          </cell>
        </row>
        <row r="39">
          <cell r="H39" t="str">
            <v>Cognos</v>
          </cell>
        </row>
        <row r="40">
          <cell r="H40" t="str">
            <v>ColdFusion</v>
          </cell>
        </row>
        <row r="41">
          <cell r="H41" t="str">
            <v>COM/DCOM Components</v>
          </cell>
        </row>
        <row r="42">
          <cell r="H42" t="str">
            <v>CORBA</v>
          </cell>
        </row>
        <row r="43">
          <cell r="H43" t="str">
            <v>Customer Care &amp; Billing (CC&amp;B)</v>
          </cell>
        </row>
        <row r="44">
          <cell r="H44" t="str">
            <v>DataStage</v>
          </cell>
        </row>
        <row r="45">
          <cell r="H45" t="str">
            <v>DB2</v>
          </cell>
        </row>
        <row r="46">
          <cell r="H46" t="str">
            <v>DB2 400</v>
          </cell>
        </row>
        <row r="47">
          <cell r="H47" t="str">
            <v>DB2; IDMS; IMS; Adabas</v>
          </cell>
        </row>
        <row r="48">
          <cell r="H48" t="str">
            <v>Demantra</v>
          </cell>
        </row>
        <row r="49">
          <cell r="H49" t="str">
            <v>Digital Unix</v>
          </cell>
        </row>
        <row r="50">
          <cell r="H50" t="str">
            <v>EDI</v>
          </cell>
        </row>
        <row r="51">
          <cell r="H51" t="str">
            <v>ESB AssetJSP</v>
          </cell>
        </row>
        <row r="52">
          <cell r="H52" t="str">
            <v>Essbase</v>
          </cell>
        </row>
        <row r="53">
          <cell r="H53" t="str">
            <v>EZTRIEVE</v>
          </cell>
        </row>
        <row r="54">
          <cell r="H54" t="str">
            <v>FABRIC</v>
          </cell>
        </row>
        <row r="55">
          <cell r="H55" t="str">
            <v>Filenet</v>
          </cell>
        </row>
        <row r="56">
          <cell r="H56" t="str">
            <v>Filenet IDMS</v>
          </cell>
        </row>
        <row r="57">
          <cell r="H57" t="str">
            <v>Forms</v>
          </cell>
        </row>
        <row r="58">
          <cell r="H58" t="str">
            <v>Fusion Apps</v>
          </cell>
        </row>
        <row r="59">
          <cell r="H59" t="str">
            <v>Fusion Middleware</v>
          </cell>
        </row>
        <row r="60">
          <cell r="H60" t="str">
            <v>HP</v>
          </cell>
        </row>
        <row r="61">
          <cell r="H61" t="str">
            <v>HP-Open View</v>
          </cell>
        </row>
        <row r="62">
          <cell r="H62" t="str">
            <v>HP-UX</v>
          </cell>
        </row>
        <row r="63">
          <cell r="H63" t="str">
            <v>HTML</v>
          </cell>
        </row>
        <row r="64">
          <cell r="H64" t="str">
            <v>Hyperion</v>
          </cell>
        </row>
        <row r="65">
          <cell r="H65" t="str">
            <v>i-flex</v>
          </cell>
        </row>
        <row r="66">
          <cell r="H66" t="str">
            <v>IIS</v>
          </cell>
        </row>
        <row r="67">
          <cell r="H67" t="str">
            <v>IMS</v>
          </cell>
        </row>
        <row r="68">
          <cell r="H68" t="str">
            <v>IMS DC</v>
          </cell>
        </row>
        <row r="69">
          <cell r="H69" t="str">
            <v>Infoman</v>
          </cell>
        </row>
        <row r="70">
          <cell r="H70" t="str">
            <v>Infor.LX</v>
          </cell>
        </row>
        <row r="71">
          <cell r="H71" t="str">
            <v>Informatica</v>
          </cell>
        </row>
        <row r="72">
          <cell r="H72" t="str">
            <v>Informix</v>
          </cell>
        </row>
        <row r="73">
          <cell r="H73" t="str">
            <v>IOS3270</v>
          </cell>
        </row>
        <row r="74">
          <cell r="H74" t="str">
            <v>ISPF JCL</v>
          </cell>
        </row>
        <row r="75">
          <cell r="H75" t="str">
            <v>Java</v>
          </cell>
        </row>
        <row r="76">
          <cell r="H76" t="str">
            <v>JavaScript</v>
          </cell>
        </row>
        <row r="77">
          <cell r="H77" t="str">
            <v>Jboss COBOL</v>
          </cell>
        </row>
        <row r="78">
          <cell r="H78" t="str">
            <v>JCL</v>
          </cell>
        </row>
        <row r="79">
          <cell r="H79" t="str">
            <v>JCS</v>
          </cell>
        </row>
        <row r="80">
          <cell r="H80" t="str">
            <v>JD Edwards</v>
          </cell>
        </row>
        <row r="81">
          <cell r="H81" t="str">
            <v>JDK</v>
          </cell>
        </row>
        <row r="82">
          <cell r="H82" t="str">
            <v>JSP</v>
          </cell>
        </row>
        <row r="83">
          <cell r="H83" t="str">
            <v>Linux</v>
          </cell>
        </row>
        <row r="84">
          <cell r="H84" t="str">
            <v>Lotus Notes</v>
          </cell>
        </row>
        <row r="85">
          <cell r="H85" t="str">
            <v>Lotus Script</v>
          </cell>
        </row>
        <row r="86">
          <cell r="H86" t="str">
            <v>Lotus Script; Java Script; AJAX</v>
          </cell>
        </row>
        <row r="87">
          <cell r="H87" t="str">
            <v>Mainframe</v>
          </cell>
        </row>
        <row r="88">
          <cell r="H88" t="str">
            <v>MAPICS</v>
          </cell>
        </row>
        <row r="89">
          <cell r="H89" t="str">
            <v>Mercator</v>
          </cell>
        </row>
        <row r="90">
          <cell r="H90" t="str">
            <v>MessageBroker People Code</v>
          </cell>
        </row>
        <row r="91">
          <cell r="H91" t="str">
            <v>Meter Data Management(MDM)</v>
          </cell>
        </row>
        <row r="92">
          <cell r="H92" t="str">
            <v>MFC/VC++</v>
          </cell>
        </row>
        <row r="93">
          <cell r="H93" t="str">
            <v>Microsoft CRM</v>
          </cell>
        </row>
        <row r="94">
          <cell r="H94" t="str">
            <v>Microsoft Dynamics AX</v>
          </cell>
        </row>
        <row r="95">
          <cell r="H95" t="str">
            <v>MOSS ( Microsoft Office Sharepoint Services)</v>
          </cell>
        </row>
        <row r="96">
          <cell r="H96" t="str">
            <v>MQSeries</v>
          </cell>
        </row>
        <row r="97">
          <cell r="H97" t="str">
            <v>MVS</v>
          </cell>
        </row>
        <row r="98">
          <cell r="H98" t="str">
            <v>MVS  OS/400</v>
          </cell>
        </row>
        <row r="99">
          <cell r="H99" t="str">
            <v>Net.data</v>
          </cell>
        </row>
        <row r="100">
          <cell r="H100" t="str">
            <v>NetView</v>
          </cell>
        </row>
        <row r="101">
          <cell r="H101" t="str">
            <v>Network Node Manager</v>
          </cell>
        </row>
        <row r="102">
          <cell r="H102" t="str">
            <v>OAF</v>
          </cell>
        </row>
        <row r="103">
          <cell r="H103" t="str">
            <v>OBIEE</v>
          </cell>
        </row>
        <row r="104">
          <cell r="H104" t="str">
            <v>OeBS</v>
          </cell>
        </row>
        <row r="105">
          <cell r="H105" t="str">
            <v>OraApps 11i</v>
          </cell>
        </row>
        <row r="106">
          <cell r="H106" t="str">
            <v>Oracle</v>
          </cell>
        </row>
        <row r="107">
          <cell r="H107" t="str">
            <v>Oracle E-Business Suite</v>
          </cell>
        </row>
        <row r="108">
          <cell r="H108" t="str">
            <v>Oracle Forms 4.5</v>
          </cell>
        </row>
        <row r="109">
          <cell r="H109" t="str">
            <v>Oracle Retail</v>
          </cell>
        </row>
        <row r="110">
          <cell r="H110" t="str">
            <v>Oracle Service Bus (BEA ALSB)</v>
          </cell>
        </row>
        <row r="111">
          <cell r="H111" t="str">
            <v>Oracle Transportation Management</v>
          </cell>
        </row>
        <row r="112">
          <cell r="H112" t="str">
            <v>Oracle UCM</v>
          </cell>
        </row>
        <row r="113">
          <cell r="H113" t="str">
            <v>OS/2</v>
          </cell>
        </row>
        <row r="114">
          <cell r="H114" t="str">
            <v>OS/400</v>
          </cell>
        </row>
        <row r="115">
          <cell r="H115" t="str">
            <v>OS390</v>
          </cell>
        </row>
        <row r="116">
          <cell r="H116" t="str">
            <v>Others</v>
          </cell>
        </row>
        <row r="117">
          <cell r="H117" t="str">
            <v>PCOMM</v>
          </cell>
        </row>
        <row r="118">
          <cell r="H118" t="str">
            <v>People Code</v>
          </cell>
        </row>
        <row r="119">
          <cell r="H119" t="str">
            <v>PeopleSoft</v>
          </cell>
        </row>
        <row r="120">
          <cell r="H120" t="str">
            <v>PeopleTools</v>
          </cell>
        </row>
        <row r="121">
          <cell r="H121" t="str">
            <v>Perl</v>
          </cell>
        </row>
        <row r="122">
          <cell r="H122" t="str">
            <v>PHP</v>
          </cell>
        </row>
        <row r="123">
          <cell r="H123" t="str">
            <v>PL/I</v>
          </cell>
        </row>
        <row r="124">
          <cell r="H124" t="str">
            <v>PL/SQL</v>
          </cell>
        </row>
        <row r="125">
          <cell r="H125" t="str">
            <v>PL/X</v>
          </cell>
        </row>
        <row r="126">
          <cell r="H126" t="str">
            <v>PL-1</v>
          </cell>
        </row>
        <row r="127">
          <cell r="H127" t="str">
            <v>Powerbuilder</v>
          </cell>
        </row>
        <row r="128">
          <cell r="H128" t="str">
            <v>Python</v>
          </cell>
        </row>
        <row r="129">
          <cell r="H129" t="str">
            <v>Rational Robot</v>
          </cell>
        </row>
        <row r="130">
          <cell r="H130" t="str">
            <v>Rational Software Architect</v>
          </cell>
        </row>
        <row r="131">
          <cell r="H131" t="str">
            <v>Remedy</v>
          </cell>
        </row>
        <row r="132">
          <cell r="H132" t="str">
            <v>Revenue Mgmt &amp; Billing (RMB)</v>
          </cell>
        </row>
        <row r="133">
          <cell r="H133" t="str">
            <v>REXX</v>
          </cell>
        </row>
        <row r="134">
          <cell r="H134" t="str">
            <v>RFT</v>
          </cell>
        </row>
        <row r="135">
          <cell r="H135" t="str">
            <v>RPG</v>
          </cell>
        </row>
        <row r="136">
          <cell r="H136" t="str">
            <v>RPG/400</v>
          </cell>
        </row>
        <row r="137">
          <cell r="H137" t="str">
            <v>SAP</v>
          </cell>
        </row>
        <row r="138">
          <cell r="H138" t="str">
            <v>SAP 4.0B</v>
          </cell>
        </row>
        <row r="139">
          <cell r="H139" t="str">
            <v>SAP 4.5B</v>
          </cell>
        </row>
        <row r="140">
          <cell r="H140" t="str">
            <v>SAP 4.6B</v>
          </cell>
        </row>
        <row r="141">
          <cell r="H141" t="str">
            <v>SAP 4.6C</v>
          </cell>
        </row>
        <row r="142">
          <cell r="H142" t="str">
            <v>SAP Enterprise Version</v>
          </cell>
        </row>
        <row r="143">
          <cell r="H143" t="str">
            <v>SAS 6.12</v>
          </cell>
        </row>
        <row r="144">
          <cell r="H144" t="str">
            <v>Sharepoint</v>
          </cell>
        </row>
        <row r="145">
          <cell r="H145" t="str">
            <v>Shell Script</v>
          </cell>
        </row>
        <row r="146">
          <cell r="H146" t="str">
            <v>Shell Scripts</v>
          </cell>
        </row>
        <row r="147">
          <cell r="H147" t="str">
            <v>Siebel</v>
          </cell>
        </row>
        <row r="148">
          <cell r="H148" t="str">
            <v>Siebel UCM</v>
          </cell>
        </row>
        <row r="149">
          <cell r="H149" t="str">
            <v>SNMP</v>
          </cell>
        </row>
        <row r="150">
          <cell r="H150" t="str">
            <v>Solaris</v>
          </cell>
        </row>
        <row r="151">
          <cell r="H151" t="str">
            <v>SQA Basic</v>
          </cell>
        </row>
        <row r="152">
          <cell r="H152" t="str">
            <v>SQL Server</v>
          </cell>
        </row>
        <row r="153">
          <cell r="H153" t="str">
            <v>SQR</v>
          </cell>
        </row>
        <row r="154">
          <cell r="H154" t="str">
            <v>Sybase</v>
          </cell>
        </row>
        <row r="155">
          <cell r="H155" t="str">
            <v>TCL/TK</v>
          </cell>
        </row>
        <row r="156">
          <cell r="H156" t="str">
            <v>TCP/IP</v>
          </cell>
        </row>
        <row r="157">
          <cell r="H157" t="str">
            <v>Terradata DB</v>
          </cell>
        </row>
        <row r="158">
          <cell r="H158" t="str">
            <v>Test Bench</v>
          </cell>
        </row>
        <row r="159">
          <cell r="H159" t="str">
            <v>TIBCO</v>
          </cell>
        </row>
        <row r="160">
          <cell r="H160" t="str">
            <v>Tomcat</v>
          </cell>
        </row>
        <row r="161">
          <cell r="H161" t="str">
            <v>TPF</v>
          </cell>
        </row>
        <row r="162">
          <cell r="H162" t="str">
            <v>TSO/ISPF</v>
          </cell>
        </row>
        <row r="163">
          <cell r="H163" t="str">
            <v>TSQL; LINQ</v>
          </cell>
        </row>
        <row r="164">
          <cell r="H164" t="str">
            <v>UDB/ DB2</v>
          </cell>
        </row>
        <row r="165">
          <cell r="H165" t="str">
            <v>Unix</v>
          </cell>
        </row>
        <row r="166">
          <cell r="H166" t="str">
            <v>Unix; Linux</v>
          </cell>
        </row>
        <row r="167">
          <cell r="H167" t="str">
            <v>Unix-AIX</v>
          </cell>
        </row>
        <row r="168">
          <cell r="H168" t="str">
            <v>Unix-HPUX</v>
          </cell>
        </row>
        <row r="169">
          <cell r="H169" t="str">
            <v>Unix-Linux</v>
          </cell>
        </row>
        <row r="170">
          <cell r="H170" t="str">
            <v>Unix-Solaris</v>
          </cell>
        </row>
        <row r="171">
          <cell r="H171" t="str">
            <v>VB.Net</v>
          </cell>
        </row>
        <row r="172">
          <cell r="H172" t="str">
            <v>VB.Net Visio Oracle</v>
          </cell>
        </row>
        <row r="173">
          <cell r="H173" t="str">
            <v>VBScript</v>
          </cell>
        </row>
        <row r="174">
          <cell r="H174" t="str">
            <v>Visual Age for C++</v>
          </cell>
        </row>
        <row r="175">
          <cell r="H175" t="str">
            <v>Visual Age for Java</v>
          </cell>
        </row>
        <row r="176">
          <cell r="H176" t="str">
            <v>Visual Basic; ASP</v>
          </cell>
        </row>
        <row r="177">
          <cell r="H177" t="str">
            <v>Visual SourceSafe</v>
          </cell>
        </row>
        <row r="178">
          <cell r="H178" t="str">
            <v>Visual Studio .NET</v>
          </cell>
        </row>
        <row r="179">
          <cell r="H179" t="str">
            <v>VisualBasic</v>
          </cell>
        </row>
        <row r="180">
          <cell r="H180" t="str">
            <v>VM/CMS</v>
          </cell>
        </row>
        <row r="181">
          <cell r="H181" t="str">
            <v>VSAM</v>
          </cell>
        </row>
        <row r="182">
          <cell r="H182" t="str">
            <v>Weblogic Application Server</v>
          </cell>
        </row>
        <row r="183">
          <cell r="H183" t="str">
            <v>WebMethods</v>
          </cell>
        </row>
        <row r="184">
          <cell r="H184" t="str">
            <v>Webshpere Process Server</v>
          </cell>
        </row>
        <row r="185">
          <cell r="H185" t="str">
            <v>Websphere Application Server</v>
          </cell>
        </row>
        <row r="186">
          <cell r="H186" t="str">
            <v>WebSphere ESB</v>
          </cell>
        </row>
        <row r="187">
          <cell r="H187" t="str">
            <v>WebSphere Message Broker</v>
          </cell>
        </row>
        <row r="188">
          <cell r="H188" t="str">
            <v>WebSphere Portal Server</v>
          </cell>
        </row>
        <row r="189">
          <cell r="H189" t="str">
            <v>WebSphere Product Center</v>
          </cell>
        </row>
        <row r="190">
          <cell r="H190" t="str">
            <v>WebTop Environment</v>
          </cell>
        </row>
        <row r="191">
          <cell r="H191" t="str">
            <v>Windows</v>
          </cell>
        </row>
        <row r="192">
          <cell r="H192" t="str">
            <v>Windows 2000</v>
          </cell>
        </row>
        <row r="193">
          <cell r="H193" t="str">
            <v>Windows 3.1</v>
          </cell>
        </row>
        <row r="194">
          <cell r="H194" t="str">
            <v>Windows 95</v>
          </cell>
        </row>
        <row r="195">
          <cell r="H195" t="str">
            <v>Windows Forms</v>
          </cell>
        </row>
        <row r="196">
          <cell r="H196" t="str">
            <v>Windows NT</v>
          </cell>
        </row>
        <row r="197">
          <cell r="H197" t="str">
            <v>Windows Vista</v>
          </cell>
        </row>
        <row r="198">
          <cell r="H198" t="str">
            <v>Windows XP</v>
          </cell>
        </row>
        <row r="199">
          <cell r="H199" t="str">
            <v>XML</v>
          </cell>
        </row>
        <row r="200">
          <cell r="H200" t="str">
            <v>Xpages; XML; XFDL; Lotus Forms</v>
          </cell>
        </row>
        <row r="201">
          <cell r="H201" t="str">
            <v>X-Windows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0DA15-5EF4-CF49-9DA8-D54BB90DA77C}">
  <sheetPr codeName="Hoja1"/>
  <dimension ref="A1"/>
  <sheetViews>
    <sheetView tabSelected="1" workbookViewId="0"/>
  </sheetViews>
  <sheetFormatPr baseColWidth="10" defaultRowHeight="16" x14ac:dyDescent="0.2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A9699F-F5AA-754C-8C61-C6F57B918066}">
  <sheetPr codeName="Hoja2"/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27691-C5CC-6D44-8B01-9A314A341293}">
  <sheetPr codeName="Sheet3"/>
  <dimension ref="A1:E7"/>
  <sheetViews>
    <sheetView workbookViewId="0">
      <selection activeCell="D17" sqref="D17"/>
    </sheetView>
  </sheetViews>
  <sheetFormatPr baseColWidth="10" defaultColWidth="8.83203125" defaultRowHeight="15" x14ac:dyDescent="0.2"/>
  <cols>
    <col min="1" max="1" width="12.6640625" style="1" customWidth="1"/>
    <col min="2" max="2" width="8.83203125" style="1"/>
    <col min="3" max="3" width="12.1640625" style="1" customWidth="1"/>
    <col min="4" max="4" width="22.33203125" style="1" customWidth="1"/>
    <col min="5" max="5" width="21.33203125" style="1" customWidth="1"/>
    <col min="6" max="16384" width="8.83203125" style="1"/>
  </cols>
  <sheetData>
    <row r="1" spans="1:5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</row>
    <row r="2" spans="1:5" x14ac:dyDescent="0.2">
      <c r="A2" s="2">
        <v>4</v>
      </c>
      <c r="B2" s="2" t="s">
        <v>5</v>
      </c>
      <c r="C2" s="2">
        <v>80</v>
      </c>
      <c r="D2" s="2">
        <v>203</v>
      </c>
      <c r="E2" s="2">
        <v>175</v>
      </c>
    </row>
    <row r="3" spans="1:5" x14ac:dyDescent="0.2">
      <c r="A3" s="2">
        <v>5</v>
      </c>
      <c r="B3" s="2" t="s">
        <v>6</v>
      </c>
      <c r="C3" s="2">
        <v>80</v>
      </c>
      <c r="D3" s="2">
        <v>232</v>
      </c>
      <c r="E3" s="2">
        <v>185</v>
      </c>
    </row>
    <row r="4" spans="1:5" x14ac:dyDescent="0.2">
      <c r="A4" s="2">
        <v>6</v>
      </c>
      <c r="B4" s="2" t="s">
        <v>7</v>
      </c>
      <c r="C4" s="2">
        <v>80</v>
      </c>
      <c r="D4" s="2">
        <v>160</v>
      </c>
      <c r="E4" s="2">
        <v>125</v>
      </c>
    </row>
    <row r="5" spans="1:5" x14ac:dyDescent="0.2">
      <c r="A5" s="2">
        <v>7</v>
      </c>
      <c r="B5" s="2" t="s">
        <v>8</v>
      </c>
      <c r="C5" s="2">
        <v>80</v>
      </c>
      <c r="D5" s="2">
        <v>155</v>
      </c>
      <c r="E5" s="2">
        <v>157</v>
      </c>
    </row>
    <row r="6" spans="1:5" x14ac:dyDescent="0.2">
      <c r="A6" s="2">
        <v>8</v>
      </c>
      <c r="B6" s="2" t="s">
        <v>9</v>
      </c>
      <c r="C6" s="2">
        <v>80</v>
      </c>
      <c r="D6" s="2">
        <v>256</v>
      </c>
      <c r="E6" s="2">
        <v>166</v>
      </c>
    </row>
    <row r="7" spans="1:5" x14ac:dyDescent="0.2">
      <c r="A7" s="2">
        <v>9</v>
      </c>
      <c r="B7" s="2" t="s">
        <v>10</v>
      </c>
      <c r="C7" s="2">
        <v>80</v>
      </c>
      <c r="D7" s="2">
        <v>212</v>
      </c>
      <c r="E7" s="2">
        <v>168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8D435C-91D7-9F44-A377-62EEC7ACE524}">
  <sheetPr codeName="Sheet4"/>
  <dimension ref="A1:G19"/>
  <sheetViews>
    <sheetView zoomScale="110" workbookViewId="0">
      <selection activeCell="F4" sqref="F4"/>
    </sheetView>
  </sheetViews>
  <sheetFormatPr baseColWidth="10" defaultColWidth="8.83203125" defaultRowHeight="15" x14ac:dyDescent="0.2"/>
  <cols>
    <col min="1" max="1" width="23.83203125" style="5" bestFit="1" customWidth="1"/>
    <col min="2" max="2" width="10.5" style="5" bestFit="1" customWidth="1"/>
    <col min="3" max="3" width="24.1640625" style="5" bestFit="1" customWidth="1"/>
    <col min="4" max="4" width="8.83203125" style="5"/>
    <col min="5" max="5" width="24.1640625" style="5" bestFit="1" customWidth="1"/>
    <col min="6" max="6" width="8" style="5" bestFit="1" customWidth="1"/>
    <col min="7" max="16384" width="8.83203125" style="5"/>
  </cols>
  <sheetData>
    <row r="1" spans="1:7" x14ac:dyDescent="0.2">
      <c r="A1" s="4" t="s">
        <v>11</v>
      </c>
      <c r="B1" s="4" t="s">
        <v>12</v>
      </c>
      <c r="C1" s="4" t="s">
        <v>13</v>
      </c>
      <c r="E1" s="6" t="s">
        <v>13</v>
      </c>
      <c r="F1" s="7" t="s">
        <v>12</v>
      </c>
    </row>
    <row r="2" spans="1:7" ht="16" x14ac:dyDescent="0.2">
      <c r="A2" s="8" t="s">
        <v>14</v>
      </c>
      <c r="B2" s="9">
        <v>51</v>
      </c>
      <c r="C2" s="10" t="s">
        <v>14</v>
      </c>
      <c r="E2" s="11" t="s">
        <v>15</v>
      </c>
      <c r="F2" s="9">
        <f>SUM(B8,B9,B10,B11,B12,B13)</f>
        <v>11</v>
      </c>
    </row>
    <row r="3" spans="1:7" ht="16" x14ac:dyDescent="0.2">
      <c r="A3" s="8" t="s">
        <v>16</v>
      </c>
      <c r="B3" s="9">
        <v>12</v>
      </c>
      <c r="C3" s="10" t="s">
        <v>16</v>
      </c>
      <c r="E3" s="11" t="s">
        <v>14</v>
      </c>
      <c r="F3" s="9">
        <f>B2</f>
        <v>51</v>
      </c>
    </row>
    <row r="4" spans="1:7" ht="16" x14ac:dyDescent="0.2">
      <c r="A4" s="8" t="s">
        <v>17</v>
      </c>
      <c r="B4" s="9">
        <v>20</v>
      </c>
      <c r="C4" s="10" t="s">
        <v>17</v>
      </c>
      <c r="E4" s="11" t="s">
        <v>17</v>
      </c>
      <c r="F4" s="9">
        <f>B4</f>
        <v>20</v>
      </c>
    </row>
    <row r="5" spans="1:7" ht="16" x14ac:dyDescent="0.2">
      <c r="A5" s="8" t="s">
        <v>18</v>
      </c>
      <c r="B5" s="9">
        <v>0</v>
      </c>
      <c r="C5" s="10" t="s">
        <v>18</v>
      </c>
      <c r="E5" s="11" t="s">
        <v>19</v>
      </c>
      <c r="F5" s="9">
        <f>B6</f>
        <v>18</v>
      </c>
    </row>
    <row r="6" spans="1:7" ht="16" x14ac:dyDescent="0.2">
      <c r="A6" s="8" t="s">
        <v>19</v>
      </c>
      <c r="B6" s="9">
        <v>18</v>
      </c>
      <c r="C6" s="10" t="s">
        <v>19</v>
      </c>
      <c r="E6" s="11" t="s">
        <v>20</v>
      </c>
      <c r="F6" s="9">
        <f>SUM(B14,B15,B16)</f>
        <v>39</v>
      </c>
    </row>
    <row r="7" spans="1:7" ht="16" x14ac:dyDescent="0.2">
      <c r="A7" s="8" t="s">
        <v>21</v>
      </c>
      <c r="B7" s="9">
        <v>24</v>
      </c>
      <c r="C7" s="12" t="s">
        <v>21</v>
      </c>
      <c r="E7" s="11" t="s">
        <v>16</v>
      </c>
      <c r="F7" s="9">
        <f>B3</f>
        <v>12</v>
      </c>
    </row>
    <row r="8" spans="1:7" ht="16" x14ac:dyDescent="0.2">
      <c r="A8" s="8" t="s">
        <v>22</v>
      </c>
      <c r="B8" s="9">
        <v>3</v>
      </c>
      <c r="C8" s="10" t="s">
        <v>15</v>
      </c>
      <c r="E8" s="11" t="s">
        <v>21</v>
      </c>
      <c r="F8" s="9">
        <f>B7</f>
        <v>24</v>
      </c>
    </row>
    <row r="9" spans="1:7" ht="16" x14ac:dyDescent="0.2">
      <c r="A9" s="8" t="s">
        <v>23</v>
      </c>
      <c r="B9" s="9">
        <v>0</v>
      </c>
      <c r="C9" s="10" t="s">
        <v>15</v>
      </c>
      <c r="E9" s="11" t="s">
        <v>24</v>
      </c>
      <c r="F9" s="9">
        <f>B17</f>
        <v>7</v>
      </c>
    </row>
    <row r="10" spans="1:7" ht="16" x14ac:dyDescent="0.2">
      <c r="A10" s="8" t="s">
        <v>25</v>
      </c>
      <c r="B10" s="9">
        <v>0</v>
      </c>
      <c r="C10" s="10" t="s">
        <v>15</v>
      </c>
      <c r="E10" s="11" t="s">
        <v>18</v>
      </c>
      <c r="F10" s="9">
        <f>B5</f>
        <v>0</v>
      </c>
    </row>
    <row r="11" spans="1:7" ht="16" x14ac:dyDescent="0.2">
      <c r="A11" s="8" t="s">
        <v>26</v>
      </c>
      <c r="B11" s="9">
        <v>0</v>
      </c>
      <c r="C11" s="10" t="s">
        <v>15</v>
      </c>
      <c r="E11" s="13" t="s">
        <v>27</v>
      </c>
      <c r="F11" s="14">
        <f>B18</f>
        <v>30</v>
      </c>
    </row>
    <row r="12" spans="1:7" ht="16" x14ac:dyDescent="0.2">
      <c r="A12" s="8" t="s">
        <v>28</v>
      </c>
      <c r="B12" s="9">
        <v>3</v>
      </c>
      <c r="C12" s="10" t="s">
        <v>15</v>
      </c>
      <c r="E12" s="15"/>
      <c r="F12" s="15"/>
    </row>
    <row r="13" spans="1:7" ht="16" x14ac:dyDescent="0.2">
      <c r="A13" s="8" t="s">
        <v>29</v>
      </c>
      <c r="B13" s="9">
        <v>5</v>
      </c>
      <c r="C13" s="10" t="s">
        <v>15</v>
      </c>
    </row>
    <row r="14" spans="1:7" ht="16" x14ac:dyDescent="0.2">
      <c r="A14" s="8" t="s">
        <v>30</v>
      </c>
      <c r="B14" s="9">
        <v>3</v>
      </c>
      <c r="C14" s="10" t="s">
        <v>20</v>
      </c>
    </row>
    <row r="15" spans="1:7" ht="16" x14ac:dyDescent="0.2">
      <c r="A15" s="8" t="s">
        <v>31</v>
      </c>
      <c r="B15" s="9">
        <v>36</v>
      </c>
      <c r="C15" s="10" t="s">
        <v>20</v>
      </c>
      <c r="E15" s="16"/>
      <c r="G15" s="17"/>
    </row>
    <row r="16" spans="1:7" ht="16" x14ac:dyDescent="0.2">
      <c r="A16" s="8" t="s">
        <v>32</v>
      </c>
      <c r="B16" s="9">
        <v>0</v>
      </c>
      <c r="C16" s="10" t="s">
        <v>20</v>
      </c>
    </row>
    <row r="17" spans="1:3" ht="16" x14ac:dyDescent="0.2">
      <c r="A17" s="8" t="s">
        <v>24</v>
      </c>
      <c r="B17" s="9">
        <v>7</v>
      </c>
      <c r="C17" s="12" t="s">
        <v>24</v>
      </c>
    </row>
    <row r="18" spans="1:3" ht="16" x14ac:dyDescent="0.2">
      <c r="A18" s="8" t="s">
        <v>27</v>
      </c>
      <c r="B18" s="9">
        <v>30</v>
      </c>
      <c r="C18" s="12" t="s">
        <v>27</v>
      </c>
    </row>
    <row r="19" spans="1:3" ht="16" x14ac:dyDescent="0.2">
      <c r="A19" s="8" t="s">
        <v>33</v>
      </c>
      <c r="B19" s="9">
        <f>SUM(B2:B18)</f>
        <v>212</v>
      </c>
    </row>
  </sheetData>
  <autoFilter ref="A1:C16" xr:uid="{FAE77805-F144-4282-A665-7DCB5FFB16A0}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37BF2B-3557-C545-B26C-2FAF62C5D879}">
  <sheetPr codeName="Sheet5"/>
  <dimension ref="C4:K16"/>
  <sheetViews>
    <sheetView workbookViewId="0">
      <selection activeCell="J22" sqref="J22"/>
    </sheetView>
  </sheetViews>
  <sheetFormatPr baseColWidth="10" defaultColWidth="8.83203125" defaultRowHeight="15" x14ac:dyDescent="0.2"/>
  <cols>
    <col min="1" max="5" width="8.83203125" style="1"/>
    <col min="6" max="6" width="12.5" style="1" customWidth="1"/>
    <col min="7" max="7" width="12.6640625" style="1" customWidth="1"/>
    <col min="8" max="8" width="9.5" style="1" bestFit="1" customWidth="1"/>
    <col min="9" max="9" width="18.33203125" style="1" customWidth="1"/>
    <col min="10" max="16384" width="8.83203125" style="1"/>
  </cols>
  <sheetData>
    <row r="4" spans="3:11" ht="19" x14ac:dyDescent="0.25">
      <c r="C4" s="27" t="s">
        <v>34</v>
      </c>
      <c r="D4" s="28"/>
      <c r="E4" s="28"/>
      <c r="F4" s="28"/>
      <c r="G4" s="28"/>
      <c r="H4" s="28"/>
      <c r="I4" s="29"/>
    </row>
    <row r="5" spans="3:11" ht="51" x14ac:dyDescent="0.2">
      <c r="C5" s="30" t="s">
        <v>35</v>
      </c>
      <c r="D5" s="31"/>
      <c r="E5" s="18" t="s">
        <v>36</v>
      </c>
      <c r="F5" s="18" t="s">
        <v>37</v>
      </c>
      <c r="G5" s="18" t="s">
        <v>38</v>
      </c>
      <c r="H5" s="32" t="s">
        <v>39</v>
      </c>
      <c r="I5" s="33"/>
      <c r="K5" s="19"/>
    </row>
    <row r="6" spans="3:11" ht="16" x14ac:dyDescent="0.2">
      <c r="C6" s="20" t="s">
        <v>40</v>
      </c>
      <c r="D6" s="20" t="s">
        <v>41</v>
      </c>
      <c r="E6" s="21">
        <v>0.9</v>
      </c>
      <c r="F6" s="22" t="s">
        <v>42</v>
      </c>
      <c r="G6" s="22" t="s">
        <v>42</v>
      </c>
      <c r="H6" s="22" t="s">
        <v>42</v>
      </c>
      <c r="I6" s="23" t="str">
        <f>IF(H6="N/A", "N/A", IF(H6&gt;=E6, "Cumplió", "No cumplió"))</f>
        <v>N/A</v>
      </c>
    </row>
    <row r="7" spans="3:11" ht="16" x14ac:dyDescent="0.2">
      <c r="C7" s="20" t="s">
        <v>43</v>
      </c>
      <c r="D7" s="20" t="s">
        <v>41</v>
      </c>
      <c r="E7" s="21">
        <v>0.9</v>
      </c>
      <c r="F7" s="22" t="s">
        <v>42</v>
      </c>
      <c r="G7" s="22" t="s">
        <v>42</v>
      </c>
      <c r="H7" s="22" t="s">
        <v>42</v>
      </c>
      <c r="I7" s="24" t="str">
        <f>IF(H7="N/A", "N/A", IF(H7&gt;=E7, "Cumplió", "No cumplió"))</f>
        <v>N/A</v>
      </c>
    </row>
    <row r="8" spans="3:11" ht="16" x14ac:dyDescent="0.2">
      <c r="C8" s="20" t="s">
        <v>44</v>
      </c>
      <c r="D8" s="20" t="s">
        <v>45</v>
      </c>
      <c r="E8" s="21">
        <v>0.85</v>
      </c>
      <c r="F8" s="22">
        <v>62</v>
      </c>
      <c r="G8" s="22">
        <v>73</v>
      </c>
      <c r="H8" s="21">
        <v>0.85</v>
      </c>
      <c r="I8" s="24" t="str">
        <f>IF(H8="N/A", "N/A", IF(H8&gt;=E8, "Met", "Did Not Meet"))</f>
        <v>Met</v>
      </c>
    </row>
    <row r="9" spans="3:11" ht="16" x14ac:dyDescent="0.2">
      <c r="C9" s="25" t="s">
        <v>46</v>
      </c>
      <c r="D9" s="25" t="s">
        <v>45</v>
      </c>
      <c r="E9" s="21">
        <v>0.85</v>
      </c>
      <c r="F9" s="22">
        <v>112</v>
      </c>
      <c r="G9" s="22">
        <v>132</v>
      </c>
      <c r="H9" s="21">
        <v>0.85</v>
      </c>
      <c r="I9" s="24" t="str">
        <f>IF(H9="N/A", "N/A", IF(H9&gt;=E9, "Met", "Did Not Meet"))</f>
        <v>Met</v>
      </c>
    </row>
    <row r="10" spans="3:11" ht="16" x14ac:dyDescent="0.2">
      <c r="C10" s="26"/>
      <c r="D10" s="26" t="s">
        <v>47</v>
      </c>
      <c r="E10" s="26"/>
      <c r="F10" s="26"/>
      <c r="G10" s="26"/>
      <c r="H10" s="26"/>
      <c r="I10" s="26"/>
    </row>
    <row r="11" spans="3:11" ht="19" x14ac:dyDescent="0.25">
      <c r="C11" s="27" t="s">
        <v>48</v>
      </c>
      <c r="D11" s="28"/>
      <c r="E11" s="28"/>
      <c r="F11" s="28"/>
      <c r="G11" s="28"/>
      <c r="H11" s="28"/>
      <c r="I11" s="29"/>
    </row>
    <row r="12" spans="3:11" ht="51" x14ac:dyDescent="0.2">
      <c r="C12" s="30" t="s">
        <v>35</v>
      </c>
      <c r="D12" s="31"/>
      <c r="E12" s="18" t="s">
        <v>36</v>
      </c>
      <c r="F12" s="18" t="s">
        <v>37</v>
      </c>
      <c r="G12" s="18" t="s">
        <v>38</v>
      </c>
      <c r="H12" s="32" t="s">
        <v>49</v>
      </c>
      <c r="I12" s="33"/>
    </row>
    <row r="13" spans="3:11" ht="16" x14ac:dyDescent="0.2">
      <c r="C13" s="20" t="s">
        <v>40</v>
      </c>
      <c r="D13" s="20" t="s">
        <v>50</v>
      </c>
      <c r="E13" s="21">
        <v>0.95</v>
      </c>
      <c r="F13" s="22" t="s">
        <v>42</v>
      </c>
      <c r="G13" s="22" t="s">
        <v>42</v>
      </c>
      <c r="H13" s="22" t="s">
        <v>42</v>
      </c>
      <c r="I13" s="24" t="str">
        <f>IF(H13="N/A", "N/A", IF(H13&gt;=E13, "Cumplió", "No cumplió"))</f>
        <v>N/A</v>
      </c>
    </row>
    <row r="14" spans="3:11" ht="16" x14ac:dyDescent="0.2">
      <c r="C14" s="20" t="s">
        <v>43</v>
      </c>
      <c r="D14" s="20" t="s">
        <v>51</v>
      </c>
      <c r="E14" s="21">
        <v>0.9</v>
      </c>
      <c r="F14" s="22" t="s">
        <v>42</v>
      </c>
      <c r="G14" s="22" t="s">
        <v>42</v>
      </c>
      <c r="H14" s="22" t="s">
        <v>42</v>
      </c>
      <c r="I14" s="24" t="str">
        <f>IF(H14="N/A", "N/A", IF(H14&gt;=E14, "Cumplió", "No cumplió"))</f>
        <v>N/A</v>
      </c>
    </row>
    <row r="15" spans="3:11" ht="16" x14ac:dyDescent="0.2">
      <c r="C15" s="20" t="s">
        <v>44</v>
      </c>
      <c r="D15" s="20" t="s">
        <v>52</v>
      </c>
      <c r="E15" s="21">
        <v>0.85</v>
      </c>
      <c r="F15" s="22">
        <v>51</v>
      </c>
      <c r="G15" s="22">
        <v>73</v>
      </c>
      <c r="H15" s="21">
        <v>0.7</v>
      </c>
      <c r="I15" s="24" t="str">
        <f>IF(H15="N/A", "N/A", IF(H15&gt;=E15, "Met", "Did Not Meet"))</f>
        <v>Did Not Meet</v>
      </c>
    </row>
    <row r="16" spans="3:11" ht="16" x14ac:dyDescent="0.2">
      <c r="C16" s="25" t="s">
        <v>46</v>
      </c>
      <c r="D16" s="25" t="s">
        <v>53</v>
      </c>
      <c r="E16" s="21">
        <v>0.8</v>
      </c>
      <c r="F16" s="22">
        <v>118</v>
      </c>
      <c r="G16" s="22">
        <v>132</v>
      </c>
      <c r="H16" s="21">
        <v>0.89</v>
      </c>
      <c r="I16" s="24" t="str">
        <f>IF(H16="N/A", "N/A", IF(H16&gt;=E16, "Met", "Did Not Meet"))</f>
        <v>Met</v>
      </c>
    </row>
  </sheetData>
  <mergeCells count="6">
    <mergeCell ref="C4:I4"/>
    <mergeCell ref="C5:D5"/>
    <mergeCell ref="H5:I5"/>
    <mergeCell ref="C11:I11"/>
    <mergeCell ref="C12:D12"/>
    <mergeCell ref="H12:I12"/>
  </mergeCells>
  <conditionalFormatting sqref="I7:I9">
    <cfRule type="cellIs" dxfId="1" priority="1" operator="equal">
      <formula>"Cumplió"</formula>
    </cfRule>
  </conditionalFormatting>
  <conditionalFormatting sqref="I13:I16">
    <cfRule type="cellIs" dxfId="0" priority="2" operator="equal">
      <formula>"Cumplió"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New</vt:lpstr>
      <vt:lpstr>Closed</vt:lpstr>
      <vt:lpstr>WorkedTickets</vt:lpstr>
      <vt:lpstr>MonthlyNewCases</vt:lpstr>
      <vt:lpstr>SLA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Nahuel Siemaszko</dc:creator>
  <cp:lastModifiedBy>Nahuel Siemaszko</cp:lastModifiedBy>
  <dcterms:created xsi:type="dcterms:W3CDTF">2023-12-29T13:16:05Z</dcterms:created>
  <dcterms:modified xsi:type="dcterms:W3CDTF">2023-12-29T14:13:37Z</dcterms:modified>
</cp:coreProperties>
</file>